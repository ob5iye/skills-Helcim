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Contract rate — confirm with a written quote/contract.</t>
        </r>
      </text>
    </comment>
    <comment ref="A7" authorId="0">
      <text>
        <r>
          <rPr>
            <sz val="10"/>
            <rFont val="Arial"/>
            <family val="2"/>
          </rPr>
          <t xml:space="preserve">Contract rate — confirm with a written quote/contract.</t>
        </r>
      </text>
    </comment>
    <comment ref="A8" authorId="0">
      <text>
        <r>
          <rPr>
            <sz val="10"/>
            <rFont val="Arial"/>
            <family val="2"/>
          </rPr>
          <t xml:space="preserve">RYNO PRINTING (Mohsin Maredia). Itemized: coil-bound handouts x15 $221, B&amp;W packets $18, weekly study material 12 wks $21.60, certificates on cardstock x15 $15, 200 outreach flyers $105.40 = $381.00 + GST (5%) = $400.05. Save the email as a dated PDF.</t>
        </r>
      </text>
    </comment>
    <comment ref="A9" authorId="0">
      <text>
        <r>
          <rPr>
            <sz val="10"/>
            <rFont val="Arial"/>
            <family val="2"/>
          </rPr>
          <t xml:space="preserve">Estimate — obtain a written quote (Calgary Transit low-income/day passes).</t>
        </r>
      </text>
    </comment>
    <comment ref="A10" authorId="0">
      <text>
        <r>
          <rPr>
            <sz val="10"/>
            <rFont val="Arial"/>
            <family val="2"/>
          </rPr>
          <t xml:space="preserve">Estimate.</t>
        </r>
      </text>
    </comment>
    <comment ref="A11" authorId="0">
      <text>
        <r>
          <rPr>
            <sz val="10"/>
            <rFont val="Arial"/>
            <family val="2"/>
          </rPr>
          <t xml:space="preserve">Contract rate — confirm with a written quote.</t>
        </r>
      </text>
    </comment>
    <comment ref="A12" authorId="0">
      <text>
        <r>
          <rPr>
            <sz val="10"/>
            <rFont val="Arial"/>
            <family val="2"/>
          </rPr>
          <t xml:space="preserve">Hayat Farah Catering. Original quote #HFC-2026-013 = $3,480 (lunch only). Caterer advises rising meat cost; +$600 adds protein to every dish and upgrades to authentic East African tea -&gt; updated target ~$4,080. Get the revised SIGNED quote replacing #HFC-2026-013. Food/non-alcoholic beverages are CIP-eligible.</t>
        </r>
      </text>
    </comment>
    <comment ref="A13" authorId="0">
      <text>
        <r>
          <rPr>
            <sz val="10"/>
            <rFont val="Arial"/>
            <family val="2"/>
          </rPr>
          <t xml:space="preserve">Estimate — obtain a written quote.</t>
        </r>
      </text>
    </comment>
    <comment ref="A17" authorId="0">
      <text>
        <r>
          <rPr>
            <sz val="10"/>
            <rFont val="Arial"/>
            <family val="2"/>
          </rPr>
          <t xml:space="preserve">SCSC donated hall. Signed support letter 2026-07-02 (Farah Ali, Exec. Dir., ref 2026-B21) + FMV memo. Letter states no dollar figure; $9,000 valuation documented separately in the memo.</t>
        </r>
      </text>
    </comment>
    <comment ref="D34" authorId="0">
      <text>
        <r>
          <rPr>
            <sz val="10"/>
            <rFont val="Arial"/>
            <family val="2"/>
          </rPr>
          <t xml:space="preserve">Total across RBC accounts 1009968 ($15,000) + 1011022 ($2,122.93), as of 2026-07-23.</t>
        </r>
      </text>
    </comment>
  </commentList>
</comments>
</file>

<file path=xl/sharedStrings.xml><?xml version="1.0" encoding="utf-8"?>
<sst xmlns="http://schemas.openxmlformats.org/spreadsheetml/2006/main" count="53" uniqueCount="53">
  <si>
    <t xml:space="preserve">Sahan Heritage Foundation — Rise Together: Pathways for Newcomer Women (Calgary)</t>
  </si>
  <si>
    <t xml:space="preserve">CIP Project Budget · Lean Pilot Plan · Single 12-week cohort (15 women) · CIP ask $12,000 · $10,000 Sahan cash match + $9,000 donated venue · Built 2026-08-12</t>
  </si>
  <si>
    <t xml:space="preserve">CASH EXPENSES</t>
  </si>
  <si>
    <t xml:space="preserve">Expense Line</t>
  </si>
  <si>
    <t xml:space="preserve">Detail / Source</t>
  </si>
  <si>
    <t xml:space="preserve">Total Cost</t>
  </si>
  <si>
    <t xml:space="preserve">CIP Request</t>
  </si>
  <si>
    <t xml:space="preserve">Sahan Cash Match</t>
  </si>
  <si>
    <t xml:space="preserve">In-Kind Match</t>
  </si>
  <si>
    <t xml:space="preserve">Lead Facilitator — Job Readiness (contract)</t>
  </si>
  <si>
    <t xml:space="preserve">12 Saturdays + prep; also delivers the 1:1 employment coaching</t>
  </si>
  <si>
    <t xml:space="preserve">ESL Instructor — TESL-certified (contract)</t>
  </si>
  <si>
    <t xml:space="preserve">12 Saturdays + prep; afternoon workplace English</t>
  </si>
  <si>
    <t xml:space="preserve">Printed materials — ESL workbooks, certificates, flyers</t>
  </si>
  <si>
    <t xml:space="preserve">RYNO Printing quote, 2026-08-12: $381 + GST</t>
  </si>
  <si>
    <t xml:space="preserve">Participant transit (bus passes)</t>
  </si>
  <si>
    <t xml:space="preserve">15 participants across the 12-week program</t>
  </si>
  <si>
    <t xml:space="preserve">Bridges cross-community event (Week 8)</t>
  </si>
  <si>
    <t xml:space="preserve">Materials &amp; setup for one cross-community event</t>
  </si>
  <si>
    <t xml:space="preserve">Registered babysitters (3, full day)</t>
  </si>
  <si>
    <t xml:space="preserve">Up to ~25 children; 3 sitters x full day x 12 Saturdays</t>
  </si>
  <si>
    <t xml:space="preserve">Halal catering — lunch + protein (all dishes) + East African tea</t>
  </si>
  <si>
    <t xml:space="preserve">Hayat Farah Catering, 12 Saturdays; updated quote ~$4,080</t>
  </si>
  <si>
    <t xml:space="preserve">Laptops / tablets — digital literacy &amp; job search</t>
  </si>
  <si>
    <t xml:space="preserve">2 new devices (Sahan buys &amp; keeps); program also uses 2 owned</t>
  </si>
  <si>
    <t xml:space="preserve">Subtotal — Cash expenses</t>
  </si>
  <si>
    <t xml:space="preserve">IN-KIND CONTRIBUTIONS (MATCH)</t>
  </si>
  <si>
    <t xml:space="preserve">Donated venue — Somali Canadian Society of Calgary hall</t>
  </si>
  <si>
    <t xml:space="preserve">12 program days at fair market value (~$750/day); signed letter + FMV memo</t>
  </si>
  <si>
    <t xml:space="preserve">Subtotal — In-kind</t>
  </si>
  <si>
    <t xml:space="preserve">TOTAL PROJECT</t>
  </si>
  <si>
    <t xml:space="preserve">FUNDING &amp; COMPLIANCE CHECK</t>
  </si>
  <si>
    <t xml:space="preserve">CIP request</t>
  </si>
  <si>
    <t xml:space="preserve">Sahan cash match</t>
  </si>
  <si>
    <t xml:space="preserve">In-kind match (donated venue)</t>
  </si>
  <si>
    <t xml:space="preserve">Total matching (cash + in-kind)</t>
  </si>
  <si>
    <t xml:space="preserve">Total project cost</t>
  </si>
  <si>
    <t xml:space="preserve">Matching ratio (must be &gt;= 100%)</t>
  </si>
  <si>
    <t xml:space="preserve">CIP share of total (must be &lt;= 50%)</t>
  </si>
  <si>
    <t xml:space="preserve">Cash as % of match</t>
  </si>
  <si>
    <t xml:space="preserve">In-kind as % of match</t>
  </si>
  <si>
    <t xml:space="preserve">CASH POSITION</t>
  </si>
  <si>
    <t xml:space="preserve">Sahan cash on hand (input)</t>
  </si>
  <si>
    <t xml:space="preserve">Cash committed to project (match)</t>
  </si>
  <si>
    <t xml:space="preserve">Cash reserve remaining</t>
  </si>
  <si>
    <t xml:space="preserve">PROGRAM METRICS</t>
  </si>
  <si>
    <t xml:space="preserve">Participants in cohort (input)</t>
  </si>
  <si>
    <t xml:space="preserve">Total project cost per participant</t>
  </si>
  <si>
    <t xml:space="preserve">CIP cost per participant</t>
  </si>
  <si>
    <t xml:space="preserve">Cash dollars per participant (CIP + Sahan cash)</t>
  </si>
  <si>
    <t xml:space="preserve">Legend</t>
  </si>
  <si>
    <t xml:space="preserve">Blue text = input cell you can change. Black = live formula (recalculates). Yellow-filled cells are the two key inputs (cash on hand, participants). Hover cells with a red corner for the source of each number. All amounts CAD.</t>
  </si>
  <si>
    <t xml:space="preserve">Aug 12, 2026 reallocation: RYNO printing quote came in at ~$400 vs the $1,000 printing line, freeing $600. That $600 was moved into catering (protein on every dish + authentic East African tea). The move is within the $22,000 cash budget, so the CIP ask stays $12,000, cash match $10,000, in-kind $9,000, total $31,000, match 158%, CIP share 38.7% — all unchanged. Still to firm up with written quotes: facilitator/ESL instructor/babysitter rates, transit, laptops, and the updated signed catering quote (~$4,080).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</si>
</sst>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22.35" hidden="false" customHeight="false" outlineLevel="0" collapsed="false">
      <c r="A6" s="6" t="s">
        <v>9</v>
      </c>
      <c r="B6" s="7" t="s">
        <v>10</v>
      </c>
      <c r="C6" s="8" t="n">
        <f aca="false">D6+E6+F6</f>
        <v>6000</v>
      </c>
      <c r="D6" s="9" t="n">
        <v>6000</v>
      </c>
      <c r="E6" s="9" t="n">
        <v>0</v>
      </c>
      <c r="F6" s="9" t="n">
        <v>0</v>
      </c>
    </row>
    <row r="7" customFormat="false" ht="15" hidden="false" customHeight="false" outlineLevel="0" collapsed="false">
      <c r="A7" s="6" t="s">
        <v>11</v>
      </c>
      <c r="B7" s="7" t="s">
        <v>12</v>
      </c>
      <c r="C7" s="8" t="n">
        <f aca="false">D7+E7+F7</f>
        <v>3500</v>
      </c>
      <c r="D7" s="9" t="n">
        <v>3500</v>
      </c>
      <c r="E7" s="9" t="n">
        <v>0</v>
      </c>
      <c r="F7" s="9" t="n">
        <v>0</v>
      </c>
    </row>
    <row r="8" customFormat="false" ht="23.85" hidden="false" customHeight="false" outlineLevel="0" collapsed="false">
      <c r="A8" s="6" t="s">
        <v>13</v>
      </c>
      <c r="B8" s="7" t="s">
        <v>14</v>
      </c>
      <c r="C8" s="8" t="n">
        <f aca="false">D8+E8+F8</f>
        <v>400</v>
      </c>
      <c r="D8" s="9" t="n">
        <v>400</v>
      </c>
      <c r="E8" s="9" t="n">
        <v>0</v>
      </c>
      <c r="F8" s="9" t="n">
        <v>0</v>
      </c>
    </row>
    <row r="9" customFormat="false" ht="15" hidden="false" customHeight="false" outlineLevel="0" collapsed="false">
      <c r="A9" s="6" t="s">
        <v>15</v>
      </c>
      <c r="B9" s="7" t="s">
        <v>16</v>
      </c>
      <c r="C9" s="8" t="n">
        <f aca="false">D9+E9+F9</f>
        <v>1000</v>
      </c>
      <c r="D9" s="9" t="n">
        <v>1000</v>
      </c>
      <c r="E9" s="9" t="n">
        <v>0</v>
      </c>
      <c r="F9" s="9" t="n">
        <v>0</v>
      </c>
    </row>
    <row r="10" customFormat="false" ht="15" hidden="false" customHeight="false" outlineLevel="0" collapsed="false">
      <c r="A10" s="6" t="s">
        <v>17</v>
      </c>
      <c r="B10" s="7" t="s">
        <v>18</v>
      </c>
      <c r="C10" s="8" t="n">
        <f aca="false">D10+E10+F10</f>
        <v>500</v>
      </c>
      <c r="D10" s="9" t="n">
        <v>500</v>
      </c>
      <c r="E10" s="9" t="n">
        <v>0</v>
      </c>
      <c r="F10" s="9" t="n">
        <v>0</v>
      </c>
    </row>
    <row r="11" customFormat="false" ht="15" hidden="false" customHeight="false" outlineLevel="0" collapsed="false">
      <c r="A11" s="6" t="s">
        <v>19</v>
      </c>
      <c r="B11" s="7" t="s">
        <v>20</v>
      </c>
      <c r="C11" s="8" t="n">
        <f aca="false">D11+E11+F11</f>
        <v>5000</v>
      </c>
      <c r="D11" s="9" t="n">
        <v>0</v>
      </c>
      <c r="E11" s="9" t="n">
        <v>5000</v>
      </c>
      <c r="F11" s="9" t="n">
        <v>0</v>
      </c>
    </row>
    <row r="12" customFormat="false" ht="23.85" hidden="false" customHeight="false" outlineLevel="0" collapsed="false">
      <c r="A12" s="6" t="s">
        <v>21</v>
      </c>
      <c r="B12" s="7" t="s">
        <v>22</v>
      </c>
      <c r="C12" s="8" t="n">
        <f aca="false">D12+E12+F12</f>
        <v>4100</v>
      </c>
      <c r="D12" s="9" t="n">
        <v>600</v>
      </c>
      <c r="E12" s="9" t="n">
        <v>3500</v>
      </c>
      <c r="F12" s="9" t="n">
        <v>0</v>
      </c>
    </row>
    <row r="13" customFormat="false" ht="22.35" hidden="false" customHeight="false" outlineLevel="0" collapsed="false">
      <c r="A13" s="6" t="s">
        <v>23</v>
      </c>
      <c r="B13" s="7" t="s">
        <v>24</v>
      </c>
      <c r="C13" s="8" t="n">
        <f aca="false">D13+E13+F13</f>
        <v>1500</v>
      </c>
      <c r="D13" s="9" t="n">
        <v>0</v>
      </c>
      <c r="E13" s="9" t="n">
        <v>1500</v>
      </c>
      <c r="F13" s="9" t="n">
        <v>0</v>
      </c>
    </row>
    <row r="14" customFormat="false" ht="15" hidden="false" customHeight="false" outlineLevel="0" collapsed="false">
      <c r="A14" s="10" t="s">
        <v>25</v>
      </c>
      <c r="B14" s="11"/>
      <c r="C14" s="12" t="n">
        <f aca="false">SUM(C6:C13)</f>
        <v>22000</v>
      </c>
      <c r="D14" s="12" t="n">
        <f aca="false">SUM(D6:D13)</f>
        <v>12000</v>
      </c>
      <c r="E14" s="12" t="n">
        <f aca="false">SUM(E6:E13)</f>
        <v>10000</v>
      </c>
      <c r="F14" s="12" t="n">
        <f aca="false">SUM(F6:F13)</f>
        <v>0</v>
      </c>
    </row>
    <row r="16" customFormat="false" ht="15" hidden="false" customHeight="false" outlineLevel="0" collapsed="false">
      <c r="A16" s="3" t="s">
        <v>26</v>
      </c>
      <c r="B16" s="3"/>
      <c r="C16" s="3"/>
      <c r="D16" s="3"/>
      <c r="E16" s="3"/>
      <c r="F16" s="3"/>
    </row>
    <row r="17" customFormat="false" ht="23.85" hidden="false" customHeight="false" outlineLevel="0" collapsed="false">
      <c r="A17" s="6" t="s">
        <v>27</v>
      </c>
      <c r="B17" s="7" t="s">
        <v>28</v>
      </c>
      <c r="C17" s="8" t="n">
        <f aca="false">D17+E17+F17</f>
        <v>9000</v>
      </c>
      <c r="D17" s="9" t="n">
        <v>0</v>
      </c>
      <c r="E17" s="9" t="n">
        <v>0</v>
      </c>
      <c r="F17" s="9" t="n">
        <v>9000</v>
      </c>
    </row>
    <row r="18" customFormat="false" ht="15" hidden="false" customHeight="false" outlineLevel="0" collapsed="false">
      <c r="A18" s="10" t="s">
        <v>29</v>
      </c>
      <c r="B18" s="11"/>
      <c r="C18" s="12" t="n">
        <f aca="false">SUM(C17:C17)</f>
        <v>9000</v>
      </c>
      <c r="D18" s="12" t="n">
        <f aca="false">SUM(D17:D17)</f>
        <v>0</v>
      </c>
      <c r="E18" s="12" t="n">
        <f aca="false">SUM(E17:E17)</f>
        <v>0</v>
      </c>
      <c r="F18" s="12" t="n">
        <f aca="false">SUM(F17:F17)</f>
        <v>9000</v>
      </c>
    </row>
    <row r="20" customFormat="false" ht="15" hidden="false" customHeight="false" outlineLevel="0" collapsed="false">
      <c r="A20" s="13" t="s">
        <v>30</v>
      </c>
      <c r="B20" s="14"/>
      <c r="C20" s="15" t="n">
        <f aca="false">C14+C18</f>
        <v>31000</v>
      </c>
      <c r="D20" s="15" t="n">
        <f aca="false">D14+D18</f>
        <v>12000</v>
      </c>
      <c r="E20" s="15" t="n">
        <f aca="false">E14+E18</f>
        <v>10000</v>
      </c>
      <c r="F20" s="15" t="n">
        <f aca="false">F14+F18</f>
        <v>9000</v>
      </c>
    </row>
    <row r="22" customFormat="false" ht="15" hidden="false" customHeight="false" outlineLevel="0" collapsed="false">
      <c r="A22" s="3" t="s">
        <v>31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16" t="s">
        <v>32</v>
      </c>
      <c r="B23" s="16"/>
      <c r="C23" s="16"/>
      <c r="D23" s="17" t="n">
        <f aca="false">D20</f>
        <v>12000</v>
      </c>
    </row>
    <row r="24" customFormat="false" ht="15" hidden="false" customHeight="false" outlineLevel="0" collapsed="false">
      <c r="A24" s="16" t="s">
        <v>33</v>
      </c>
      <c r="B24" s="16"/>
      <c r="C24" s="16"/>
      <c r="D24" s="17" t="n">
        <f aca="false">E20</f>
        <v>10000</v>
      </c>
    </row>
    <row r="25" customFormat="false" ht="15" hidden="false" customHeight="false" outlineLevel="0" collapsed="false">
      <c r="A25" s="16" t="s">
        <v>34</v>
      </c>
      <c r="B25" s="16"/>
      <c r="C25" s="16"/>
      <c r="D25" s="17" t="n">
        <f aca="false">F20</f>
        <v>9000</v>
      </c>
    </row>
    <row r="26" customFormat="false" ht="15" hidden="false" customHeight="false" outlineLevel="0" collapsed="false">
      <c r="A26" s="16" t="s">
        <v>35</v>
      </c>
      <c r="B26" s="16"/>
      <c r="C26" s="16"/>
      <c r="D26" s="17" t="n">
        <f aca="false">E20+F20</f>
        <v>19000</v>
      </c>
    </row>
    <row r="27" customFormat="false" ht="15" hidden="false" customHeight="false" outlineLevel="0" collapsed="false">
      <c r="A27" s="16" t="s">
        <v>36</v>
      </c>
      <c r="B27" s="16"/>
      <c r="C27" s="16"/>
      <c r="D27" s="17" t="n">
        <f aca="false">C20</f>
        <v>31000</v>
      </c>
    </row>
    <row r="28" customFormat="false" ht="15" hidden="false" customHeight="false" outlineLevel="0" collapsed="false">
      <c r="A28" s="16" t="s">
        <v>37</v>
      </c>
      <c r="B28" s="16"/>
      <c r="C28" s="16"/>
      <c r="D28" s="18" t="n">
        <f aca="false">(E20+F20)/D20</f>
        <v>1.58333333333333</v>
      </c>
      <c r="E28" s="19" t="str">
        <f aca="false">IF((E20+F20)/D20&gt;=1,"PASS","CHECK")</f>
        <v>PASS</v>
      </c>
    </row>
    <row r="29" customFormat="false" ht="15" hidden="false" customHeight="false" outlineLevel="0" collapsed="false">
      <c r="A29" s="16" t="s">
        <v>38</v>
      </c>
      <c r="B29" s="16"/>
      <c r="C29" s="16"/>
      <c r="D29" s="18" t="n">
        <f aca="false">D20/C20</f>
        <v>0.387096774193548</v>
      </c>
      <c r="E29" s="19" t="str">
        <f aca="false">IF(D20/C20&lt;=0.5,"PASS","CHECK")</f>
        <v>PASS</v>
      </c>
    </row>
    <row r="30" customFormat="false" ht="15" hidden="false" customHeight="false" outlineLevel="0" collapsed="false">
      <c r="A30" s="16" t="s">
        <v>39</v>
      </c>
      <c r="B30" s="16"/>
      <c r="C30" s="16"/>
      <c r="D30" s="18" t="n">
        <f aca="false">E20/(E20+F20)</f>
        <v>0.526315789473684</v>
      </c>
    </row>
    <row r="31" customFormat="false" ht="15" hidden="false" customHeight="false" outlineLevel="0" collapsed="false">
      <c r="A31" s="16" t="s">
        <v>40</v>
      </c>
      <c r="B31" s="16"/>
      <c r="C31" s="16"/>
      <c r="D31" s="18" t="n">
        <f aca="false">F20/(E20+F20)</f>
        <v>0.473684210526316</v>
      </c>
    </row>
    <row r="33" customFormat="false" ht="15" hidden="false" customHeight="false" outlineLevel="0" collapsed="false">
      <c r="A33" s="3" t="s">
        <v>41</v>
      </c>
      <c r="B33" s="3"/>
      <c r="C33" s="3"/>
      <c r="D33" s="3"/>
      <c r="E33" s="3"/>
      <c r="F33" s="3"/>
    </row>
    <row r="34" customFormat="false" ht="15" hidden="false" customHeight="false" outlineLevel="0" collapsed="false">
      <c r="A34" s="16" t="s">
        <v>42</v>
      </c>
      <c r="B34" s="16"/>
      <c r="C34" s="16"/>
      <c r="D34" s="20" t="n">
        <v>17122.93</v>
      </c>
    </row>
    <row r="35" customFormat="false" ht="15" hidden="false" customHeight="false" outlineLevel="0" collapsed="false">
      <c r="A35" s="16" t="s">
        <v>43</v>
      </c>
      <c r="B35" s="16"/>
      <c r="C35" s="16"/>
      <c r="D35" s="21" t="n">
        <f aca="false">E20</f>
        <v>10000</v>
      </c>
    </row>
    <row r="36" customFormat="false" ht="15" hidden="false" customHeight="false" outlineLevel="0" collapsed="false">
      <c r="A36" s="16" t="s">
        <v>44</v>
      </c>
      <c r="B36" s="16"/>
      <c r="C36" s="16"/>
      <c r="D36" s="22" t="n">
        <f aca="false">D34-E20</f>
        <v>7122.93</v>
      </c>
    </row>
    <row r="38" customFormat="false" ht="15" hidden="false" customHeight="false" outlineLevel="0" collapsed="false">
      <c r="A38" s="3" t="s">
        <v>45</v>
      </c>
      <c r="B38" s="3"/>
      <c r="C38" s="3"/>
      <c r="D38" s="3"/>
      <c r="E38" s="3"/>
      <c r="F38" s="3"/>
    </row>
    <row r="39" customFormat="false" ht="15" hidden="false" customHeight="false" outlineLevel="0" collapsed="false">
      <c r="A39" s="16" t="s">
        <v>46</v>
      </c>
      <c r="B39" s="16"/>
      <c r="C39" s="16"/>
      <c r="D39" s="23" t="n">
        <v>15</v>
      </c>
    </row>
    <row r="40" customFormat="false" ht="15" hidden="false" customHeight="false" outlineLevel="0" collapsed="false">
      <c r="A40" s="16" t="s">
        <v>47</v>
      </c>
      <c r="B40" s="16"/>
      <c r="C40" s="16"/>
      <c r="D40" s="21" t="n">
        <f aca="false">C20/D39</f>
        <v>2066.66666666667</v>
      </c>
    </row>
    <row r="41" customFormat="false" ht="15" hidden="false" customHeight="false" outlineLevel="0" collapsed="false">
      <c r="A41" s="16" t="s">
        <v>48</v>
      </c>
      <c r="B41" s="16"/>
      <c r="C41" s="16"/>
      <c r="D41" s="21" t="n">
        <f aca="false">D20/D39</f>
        <v>800</v>
      </c>
    </row>
    <row r="42" customFormat="false" ht="15" hidden="false" customHeight="false" outlineLevel="0" collapsed="false">
      <c r="A42" s="16" t="s">
        <v>49</v>
      </c>
      <c r="B42" s="16"/>
      <c r="C42" s="16"/>
      <c r="D42" s="21" t="n">
        <f aca="false">(D20+E20)/D39</f>
        <v>1466.66666666667</v>
      </c>
    </row>
    <row r="44" customFormat="false" ht="15" hidden="false" customHeight="false" outlineLevel="0" collapsed="false">
      <c r="A44" s="24" t="s">
        <v>50</v>
      </c>
    </row>
    <row r="45" customFormat="false" ht="30" hidden="false" customHeight="true" outlineLevel="0" collapsed="false">
      <c r="A45" s="25" t="s">
        <v>51</v>
      </c>
      <c r="B45" s="25"/>
      <c r="C45" s="25"/>
      <c r="D45" s="25"/>
      <c r="E45" s="25"/>
      <c r="F45" s="25"/>
    </row>
    <row r="47" customFormat="false" ht="15" hidden="false" customHeight="true" outlineLevel="0" collapsed="false">
      <c r="A47" s="26" t="s">
        <v>52</v>
      </c>
      <c r="B47" s="26"/>
      <c r="C47" s="26"/>
      <c r="D47" s="26"/>
      <c r="E47" s="26"/>
      <c r="F47" s="26"/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6"/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6"/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6"/>
    </row>
  </sheetData>
  <mergeCells count="25">
    <mergeCell ref="A1:F1"/>
    <mergeCell ref="A2:F2"/>
    <mergeCell ref="A4:F4"/>
    <mergeCell ref="A16:F16"/>
    <mergeCell ref="A22:F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3:F33"/>
    <mergeCell ref="A34:C34"/>
    <mergeCell ref="A35:C35"/>
    <mergeCell ref="A36:C36"/>
    <mergeCell ref="A38:F38"/>
    <mergeCell ref="A39:C39"/>
    <mergeCell ref="A40:C40"/>
    <mergeCell ref="A41:C41"/>
    <mergeCell ref="A42:C42"/>
    <mergeCell ref="A45:F45"/>
    <mergeCell ref="A47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2026-08-12T17:59:08Z</dcterms:created>
  <dc:creator>openpyxl</dc:creator>
  <dc:description/>
  <dc:language>en-US</dc:language>
  <cp:lastModifiedBy/>
  <dcterms:modified xsi:type="dcterms:W3CDTF">2026-08-12T17:59:08Z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