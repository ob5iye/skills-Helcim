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<sst xmlns="http://schemas.openxmlformats.org/spreadsheetml/2006/main" count="69" uniqueCount="69">
  <si>
    <t xml:space="preserve">Sahan Heritage Foundation — Rise Together: Pathways for Newcomer Women (Calgary)</t>
  </si>
  <si>
    <t xml:space="preserve">CIP Project Budget · Single 12-week cohort · CIP ask $24,000 · DETAILED FINANCIAL SHEET · CIP $24,000 · $11,000 cash (of $17,000 on hand, $6,000 reserve retained) + donated venue</t>
  </si>
  <si>
    <t xml:space="preserve">CASH EXPENSES</t>
  </si>
  <si>
    <t xml:space="preserve">Expense Line</t>
  </si>
  <si>
    <t xml:space="preserve">Detail</t>
  </si>
  <si>
    <t xml:space="preserve">Total Cost</t>
  </si>
  <si>
    <t xml:space="preserve">CIP Request</t>
  </si>
  <si>
    <t xml:space="preserve">Sahan Cash Match</t>
  </si>
  <si>
    <t xml:space="preserve">In-Kind Match</t>
  </si>
  <si>
    <t xml:space="preserve">Lead Facilitator — Job Readiness (contract)</t>
  </si>
  <si>
    <t xml:space="preserve">12 sessions + prep &amp; individual support</t>
  </si>
  <si>
    <t xml:space="preserve">Employment / job-search coach (contract)</t>
  </si>
  <si>
    <t xml:space="preserve">1:1 resume, applications &amp; interview coaching</t>
  </si>
  <si>
    <t xml:space="preserve">ESL Instructor — TESL-certified (contract)</t>
  </si>
  <si>
    <t xml:space="preserve">12 sessions + prep</t>
  </si>
  <si>
    <t xml:space="preserve">Program Coordinator (part-time contract)</t>
  </si>
  <si>
    <t xml:space="preserve">Intake, logistics, mentor &amp; food coordination</t>
  </si>
  <si>
    <t xml:space="preserve">Registered babysitters (3, full day)</t>
  </si>
  <si>
    <t xml:space="preserve">Up to ~25 children; 3 × 6.5 hrs × 12 wks</t>
  </si>
  <si>
    <t xml:space="preserve">Hot lunch + AM/PM snacks (halal)</t>
  </si>
  <si>
    <t xml:space="preserve">12 Saturdays, women + children</t>
  </si>
  <si>
    <t xml:space="preserve">Laptops / tablets — digital literacy &amp; job search</t>
  </si>
  <si>
    <t xml:space="preserve">2-3 shared devices (reduced from 6), rotation use</t>
  </si>
  <si>
    <t xml:space="preserve">Participant transit (bus passes)</t>
  </si>
  <si>
    <t xml:space="preserve">15 participants × program period</t>
  </si>
  <si>
    <t xml:space="preserve">ESL workbooks + template printing</t>
  </si>
  <si>
    <t xml:space="preserve">15 participants</t>
  </si>
  <si>
    <t xml:space="preserve">Bridges cross-community event</t>
  </si>
  <si>
    <t xml:space="preserve">Food, materials, setup (1 event)</t>
  </si>
  <si>
    <t xml:space="preserve">Children's program supplies</t>
  </si>
  <si>
    <t xml:space="preserve">Toys, books, activity materials</t>
  </si>
  <si>
    <t xml:space="preserve">Mentor honoraria + training</t>
  </si>
  <si>
    <t xml:space="preserve">4 mentors</t>
  </si>
  <si>
    <t xml:space="preserve">Outreach &amp; marketing</t>
  </si>
  <si>
    <t xml:space="preserve">Calgary East African/Somali media, flyers, mosques</t>
  </si>
  <si>
    <t xml:space="preserve">Graduation &amp; certificate celebration (Week 12)</t>
  </si>
  <si>
    <t xml:space="preserve">Venue setup, food, certificates</t>
  </si>
  <si>
    <t xml:space="preserve">Office supplies, printing, misc</t>
  </si>
  <si>
    <t xml:space="preserve">Sign-in logs, admin</t>
  </si>
  <si>
    <t xml:space="preserve">Subtotal — Cash expenses</t>
  </si>
  <si>
    <t xml:space="preserve">IN-KIND CONTRIBUTIONS (MATCH)</t>
  </si>
  <si>
    <t xml:space="preserve">Donated venue — Somali Canadian Society hall</t>
  </si>
  <si>
    <t xml:space="preserve">12 program days at fair market value (~$750/day); letter on file</t>
  </si>
  <si>
    <t xml:space="preserve">Mentor hours (skilled @ $40/hr)</t>
  </si>
  <si>
    <t xml:space="preserve">4 mentors × 2 hrs × 12 wks = 96 hrs</t>
  </si>
  <si>
    <t xml:space="preserve">Session-day volunteers (@ $20/hr)</t>
  </si>
  <si>
    <t xml:space="preserve">2 × 6.5 hrs × 12 wks = 156 hrs</t>
  </si>
  <si>
    <t xml:space="preserve">Subtotal — In-kind</t>
  </si>
  <si>
    <t xml:space="preserve">TOTAL PROJECT</t>
  </si>
  <si>
    <t xml:space="preserve">FUNDING &amp; COMPLIANCE CHECK</t>
  </si>
  <si>
    <t xml:space="preserve">CIP request</t>
  </si>
  <si>
    <t xml:space="preserve">Sahan cash match</t>
  </si>
  <si>
    <t xml:space="preserve">In-kind match</t>
  </si>
  <si>
    <t xml:space="preserve">Total matching (cash + in-kind)</t>
  </si>
  <si>
    <t xml:space="preserve">Total project cost</t>
  </si>
  <si>
    <t xml:space="preserve">Matching ratio (must be ≥ 100%)</t>
  </si>
  <si>
    <t xml:space="preserve">CIP share of total (must be ≤ 50%)</t>
  </si>
  <si>
    <t xml:space="preserve">Cash as % of match</t>
  </si>
  <si>
    <t xml:space="preserve">In-kind as % of match</t>
  </si>
  <si>
    <t xml:space="preserve">CASH POSITION</t>
  </si>
  <si>
    <t xml:space="preserve">Sahan cash on hand (input)</t>
  </si>
  <si>
    <t xml:space="preserve">Cash committed to project (match)</t>
  </si>
  <si>
    <t xml:space="preserve">Cash reserve remaining</t>
  </si>
  <si>
    <t xml:space="preserve">PROGRAM METRICS</t>
  </si>
  <si>
    <t xml:space="preserve">Participants in cohort (input)</t>
  </si>
  <si>
    <t xml:space="preserve">Total project cost per participant</t>
  </si>
  <si>
    <t xml:space="preserve">CIP cost per participant</t>
  </si>
  <si>
    <t xml:space="preserve">Cash bills per participant</t>
  </si>
  <si>
    <t xml:space="preserve">This version keeps Sahan's cash match at $11,000, retaining a $6,000 operating reserve out of the $17,000 on hand. Core program costs (facilitator, coach, ESL instructor, coordinator, babysitters, food = $26,000) are untouched. $6,000 was trimmed from discretionary cash lines (laptops, transit, children's supplies, mentor honoraria, marketing, graduation, office supplies), cut ~60% from their prior $10,000 combined total. In-kind stays at $15,960 (donated hall, mentor hours, volunteers). Match is now $26,960 (112% of the $24,000 request), split ~41% cash / 59% in-kind; CIP share 47.1%. Blue = input; black = formula.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</si>
</sst>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C6E0B4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42"/>
    <col collapsed="false" customWidth="true" hidden="false" outlineLevel="0" max="4" min="3" style="1" width="13"/>
    <col collapsed="false" customWidth="true" hidden="false" outlineLevel="0" max="5" min="5" style="1" width="15"/>
    <col collapsed="false" customWidth="true" hidden="false" outlineLevel="0" max="6" min="6" style="1" width="1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26.25" hidden="false" customHeight="true" outlineLevel="0" collapsed="false">
      <c r="A5" s="5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customFormat="false" ht="15" hidden="false" customHeight="true" outlineLevel="0" collapsed="false">
      <c r="A6" s="7" t="s">
        <v>9</v>
      </c>
      <c r="B6" s="8" t="s">
        <v>10</v>
      </c>
      <c r="C6" s="9" t="n">
        <f aca="false">D6+E6+F6</f>
        <v>6000</v>
      </c>
      <c r="D6" s="10" t="n">
        <v>6000</v>
      </c>
      <c r="E6" s="10" t="n">
        <v>0</v>
      </c>
      <c r="F6" s="10" t="n">
        <v>0</v>
      </c>
    </row>
    <row r="7" customFormat="false" ht="15" hidden="false" customHeight="true" outlineLevel="0" collapsed="false">
      <c r="A7" s="7" t="s">
        <v>11</v>
      </c>
      <c r="B7" s="8" t="s">
        <v>12</v>
      </c>
      <c r="C7" s="9" t="n">
        <f aca="false">D7+E7+F7</f>
        <v>3000</v>
      </c>
      <c r="D7" s="10" t="n">
        <v>0</v>
      </c>
      <c r="E7" s="10" t="n">
        <v>3000</v>
      </c>
      <c r="F7" s="10" t="n">
        <v>0</v>
      </c>
    </row>
    <row r="8" customFormat="false" ht="15" hidden="false" customHeight="true" outlineLevel="0" collapsed="false">
      <c r="A8" s="7" t="s">
        <v>13</v>
      </c>
      <c r="B8" s="8" t="s">
        <v>14</v>
      </c>
      <c r="C8" s="9" t="n">
        <f aca="false">D8+E8+F8</f>
        <v>3500</v>
      </c>
      <c r="D8" s="10" t="n">
        <v>3500</v>
      </c>
      <c r="E8" s="10" t="n">
        <v>0</v>
      </c>
      <c r="F8" s="10" t="n">
        <v>0</v>
      </c>
    </row>
    <row r="9" customFormat="false" ht="15" hidden="false" customHeight="true" outlineLevel="0" collapsed="false">
      <c r="A9" s="7" t="s">
        <v>15</v>
      </c>
      <c r="B9" s="8" t="s">
        <v>16</v>
      </c>
      <c r="C9" s="9" t="n">
        <f aca="false">D9+E9+F9</f>
        <v>3500</v>
      </c>
      <c r="D9" s="10" t="n">
        <v>3500</v>
      </c>
      <c r="E9" s="10" t="n">
        <v>0</v>
      </c>
      <c r="F9" s="10" t="n">
        <v>0</v>
      </c>
    </row>
    <row r="10" customFormat="false" ht="15" hidden="false" customHeight="true" outlineLevel="0" collapsed="false">
      <c r="A10" s="7" t="s">
        <v>17</v>
      </c>
      <c r="B10" s="8" t="s">
        <v>18</v>
      </c>
      <c r="C10" s="9" t="n">
        <f aca="false">D10+E10+F10</f>
        <v>5000</v>
      </c>
      <c r="D10" s="10" t="n">
        <v>3000</v>
      </c>
      <c r="E10" s="10" t="n">
        <v>2000</v>
      </c>
      <c r="F10" s="10" t="n">
        <v>0</v>
      </c>
    </row>
    <row r="11" customFormat="false" ht="15" hidden="false" customHeight="true" outlineLevel="0" collapsed="false">
      <c r="A11" s="7" t="s">
        <v>19</v>
      </c>
      <c r="B11" s="8" t="s">
        <v>20</v>
      </c>
      <c r="C11" s="9" t="n">
        <f aca="false">D11+E11+F11</f>
        <v>5000</v>
      </c>
      <c r="D11" s="10" t="n">
        <v>3000</v>
      </c>
      <c r="E11" s="10" t="n">
        <v>2000</v>
      </c>
      <c r="F11" s="10" t="n">
        <v>0</v>
      </c>
    </row>
    <row r="12" customFormat="false" ht="15" hidden="false" customHeight="true" outlineLevel="0" collapsed="false">
      <c r="A12" s="7" t="s">
        <v>21</v>
      </c>
      <c r="B12" s="8" t="s">
        <v>22</v>
      </c>
      <c r="C12" s="9" t="n">
        <f aca="false">D12+E12+F12</f>
        <v>1700</v>
      </c>
      <c r="D12" s="10" t="n">
        <v>0</v>
      </c>
      <c r="E12" s="10" t="n">
        <v>1700</v>
      </c>
      <c r="F12" s="10" t="n">
        <v>0</v>
      </c>
    </row>
    <row r="13" customFormat="false" ht="15" hidden="false" customHeight="true" outlineLevel="0" collapsed="false">
      <c r="A13" s="7" t="s">
        <v>23</v>
      </c>
      <c r="B13" s="8" t="s">
        <v>24</v>
      </c>
      <c r="C13" s="9" t="n">
        <f aca="false">D13+E13+F13</f>
        <v>1400</v>
      </c>
      <c r="D13" s="10" t="n">
        <v>1000</v>
      </c>
      <c r="E13" s="10" t="n">
        <v>400</v>
      </c>
      <c r="F13" s="10" t="n">
        <v>0</v>
      </c>
    </row>
    <row r="14" customFormat="false" ht="15" hidden="false" customHeight="true" outlineLevel="0" collapsed="false">
      <c r="A14" s="7" t="s">
        <v>25</v>
      </c>
      <c r="B14" s="8" t="s">
        <v>26</v>
      </c>
      <c r="C14" s="9" t="n">
        <f aca="false">D14+E14+F14</f>
        <v>1500</v>
      </c>
      <c r="D14" s="10" t="n">
        <v>1500</v>
      </c>
      <c r="E14" s="10" t="n">
        <v>0</v>
      </c>
      <c r="F14" s="10" t="n">
        <v>0</v>
      </c>
    </row>
    <row r="15" customFormat="false" ht="15" hidden="false" customHeight="true" outlineLevel="0" collapsed="false">
      <c r="A15" s="7" t="s">
        <v>27</v>
      </c>
      <c r="B15" s="8" t="s">
        <v>28</v>
      </c>
      <c r="C15" s="9" t="n">
        <f aca="false">D15+E15+F15</f>
        <v>1800</v>
      </c>
      <c r="D15" s="10" t="n">
        <v>1800</v>
      </c>
      <c r="E15" s="10" t="n">
        <v>0</v>
      </c>
      <c r="F15" s="10" t="n">
        <v>0</v>
      </c>
    </row>
    <row r="16" customFormat="false" ht="15" hidden="false" customHeight="true" outlineLevel="0" collapsed="false">
      <c r="A16" s="7" t="s">
        <v>29</v>
      </c>
      <c r="B16" s="8" t="s">
        <v>30</v>
      </c>
      <c r="C16" s="9" t="n">
        <f aca="false">D16+E16+F16</f>
        <v>500</v>
      </c>
      <c r="D16" s="10" t="n">
        <v>0</v>
      </c>
      <c r="E16" s="10" t="n">
        <v>500</v>
      </c>
      <c r="F16" s="10" t="n">
        <v>0</v>
      </c>
    </row>
    <row r="17" customFormat="false" ht="15" hidden="false" customHeight="true" outlineLevel="0" collapsed="false">
      <c r="A17" s="7" t="s">
        <v>31</v>
      </c>
      <c r="B17" s="8" t="s">
        <v>32</v>
      </c>
      <c r="C17" s="9" t="n">
        <f aca="false">D17+E17+F17</f>
        <v>600</v>
      </c>
      <c r="D17" s="10" t="n">
        <v>0</v>
      </c>
      <c r="E17" s="10" t="n">
        <v>600</v>
      </c>
      <c r="F17" s="10" t="n">
        <v>0</v>
      </c>
    </row>
    <row r="18" customFormat="false" ht="15" hidden="false" customHeight="true" outlineLevel="0" collapsed="false">
      <c r="A18" s="7" t="s">
        <v>33</v>
      </c>
      <c r="B18" s="8" t="s">
        <v>34</v>
      </c>
      <c r="C18" s="9" t="n">
        <f aca="false">D18+E18+F18</f>
        <v>850</v>
      </c>
      <c r="D18" s="10" t="n">
        <v>600</v>
      </c>
      <c r="E18" s="10" t="n">
        <v>250</v>
      </c>
      <c r="F18" s="10" t="n">
        <v>0</v>
      </c>
    </row>
    <row r="19" customFormat="false" ht="15" hidden="false" customHeight="true" outlineLevel="0" collapsed="false">
      <c r="A19" s="7" t="s">
        <v>35</v>
      </c>
      <c r="B19" s="8" t="s">
        <v>36</v>
      </c>
      <c r="C19" s="9" t="n">
        <f aca="false">D19+E19+F19</f>
        <v>400</v>
      </c>
      <c r="D19" s="10" t="n">
        <v>0</v>
      </c>
      <c r="E19" s="10" t="n">
        <v>400</v>
      </c>
      <c r="F19" s="10" t="n">
        <v>0</v>
      </c>
    </row>
    <row r="20" customFormat="false" ht="15" hidden="false" customHeight="true" outlineLevel="0" collapsed="false">
      <c r="A20" s="7" t="s">
        <v>37</v>
      </c>
      <c r="B20" s="8" t="s">
        <v>38</v>
      </c>
      <c r="C20" s="9" t="n">
        <f aca="false">D20+E20+F20</f>
        <v>250</v>
      </c>
      <c r="D20" s="10" t="n">
        <v>100</v>
      </c>
      <c r="E20" s="10" t="n">
        <v>150</v>
      </c>
      <c r="F20" s="10" t="n">
        <v>0</v>
      </c>
    </row>
    <row r="21" customFormat="false" ht="15" hidden="false" customHeight="true" outlineLevel="0" collapsed="false">
      <c r="A21" s="11" t="s">
        <v>39</v>
      </c>
      <c r="B21" s="12"/>
      <c r="C21" s="13" t="n">
        <f aca="false">SUM(C6:C20)</f>
        <v>35000</v>
      </c>
      <c r="D21" s="13" t="n">
        <f aca="false">SUM(D6:D20)</f>
        <v>24000</v>
      </c>
      <c r="E21" s="13" t="n">
        <f aca="false">SUM(E6:E20)</f>
        <v>11000</v>
      </c>
      <c r="F21" s="13" t="n">
        <f aca="false">SUM(F6:F20)</f>
        <v>0</v>
      </c>
    </row>
    <row r="23" customFormat="false" ht="15" hidden="false" customHeight="true" outlineLevel="0" collapsed="false">
      <c r="A23" s="4" t="s">
        <v>40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7" t="s">
        <v>41</v>
      </c>
      <c r="B24" s="8" t="s">
        <v>42</v>
      </c>
      <c r="C24" s="9" t="n">
        <f aca="false">D24+E24+F24</f>
        <v>9000</v>
      </c>
      <c r="D24" s="10" t="n">
        <v>0</v>
      </c>
      <c r="E24" s="10" t="n">
        <v>0</v>
      </c>
      <c r="F24" s="10" t="n">
        <v>9000</v>
      </c>
    </row>
    <row r="25" customFormat="false" ht="15" hidden="false" customHeight="true" outlineLevel="0" collapsed="false">
      <c r="A25" s="7" t="s">
        <v>43</v>
      </c>
      <c r="B25" s="8" t="s">
        <v>44</v>
      </c>
      <c r="C25" s="9" t="n">
        <f aca="false">D25+E25+F25</f>
        <v>3840</v>
      </c>
      <c r="D25" s="10" t="n">
        <v>0</v>
      </c>
      <c r="E25" s="10" t="n">
        <v>0</v>
      </c>
      <c r="F25" s="10" t="n">
        <v>3840</v>
      </c>
    </row>
    <row r="26" customFormat="false" ht="15" hidden="false" customHeight="true" outlineLevel="0" collapsed="false">
      <c r="A26" s="7" t="s">
        <v>45</v>
      </c>
      <c r="B26" s="8" t="s">
        <v>46</v>
      </c>
      <c r="C26" s="9" t="n">
        <f aca="false">D26+E26+F26</f>
        <v>3120</v>
      </c>
      <c r="D26" s="10" t="n">
        <v>0</v>
      </c>
      <c r="E26" s="10" t="n">
        <v>0</v>
      </c>
      <c r="F26" s="10" t="n">
        <v>3120</v>
      </c>
    </row>
    <row r="27" customFormat="false" ht="15" hidden="false" customHeight="true" outlineLevel="0" collapsed="false">
      <c r="A27" s="11" t="s">
        <v>47</v>
      </c>
      <c r="B27" s="12"/>
      <c r="C27" s="13" t="n">
        <f aca="false">SUM(C24:C26)</f>
        <v>15960</v>
      </c>
      <c r="D27" s="13" t="n">
        <f aca="false">SUM(D24:D26)</f>
        <v>0</v>
      </c>
      <c r="E27" s="13" t="n">
        <f aca="false">SUM(E24:E26)</f>
        <v>0</v>
      </c>
      <c r="F27" s="13" t="n">
        <f aca="false">SUM(F24:F26)</f>
        <v>15960</v>
      </c>
    </row>
    <row r="29" customFormat="false" ht="15" hidden="false" customHeight="true" outlineLevel="0" collapsed="false">
      <c r="A29" s="14" t="s">
        <v>48</v>
      </c>
      <c r="B29" s="15"/>
      <c r="C29" s="16" t="n">
        <f aca="false">C21+C27</f>
        <v>50960</v>
      </c>
      <c r="D29" s="16" t="n">
        <f aca="false">D21+D27</f>
        <v>24000</v>
      </c>
      <c r="E29" s="16" t="n">
        <f aca="false">E21+E27</f>
        <v>11000</v>
      </c>
      <c r="F29" s="16" t="n">
        <f aca="false">F21+F27</f>
        <v>15960</v>
      </c>
    </row>
    <row r="31" customFormat="false" ht="15" hidden="false" customHeight="true" outlineLevel="0" collapsed="false">
      <c r="A31" s="4" t="s">
        <v>49</v>
      </c>
      <c r="B31" s="4"/>
      <c r="C31" s="4"/>
      <c r="D31" s="4"/>
      <c r="E31" s="4"/>
      <c r="F31" s="4"/>
    </row>
    <row r="32" customFormat="false" ht="15" hidden="false" customHeight="true" outlineLevel="0" collapsed="false">
      <c r="A32" s="17" t="s">
        <v>50</v>
      </c>
      <c r="B32" s="17"/>
      <c r="C32" s="17"/>
      <c r="D32" s="18" t="n">
        <f aca="false">D29</f>
        <v>24000</v>
      </c>
    </row>
    <row r="33" customFormat="false" ht="15" hidden="false" customHeight="true" outlineLevel="0" collapsed="false">
      <c r="A33" s="17" t="s">
        <v>51</v>
      </c>
      <c r="B33" s="17"/>
      <c r="C33" s="17"/>
      <c r="D33" s="18" t="n">
        <f aca="false">E29</f>
        <v>11000</v>
      </c>
    </row>
    <row r="34" customFormat="false" ht="15" hidden="false" customHeight="true" outlineLevel="0" collapsed="false">
      <c r="A34" s="17" t="s">
        <v>52</v>
      </c>
      <c r="B34" s="17"/>
      <c r="C34" s="17"/>
      <c r="D34" s="18" t="n">
        <f aca="false">F29</f>
        <v>15960</v>
      </c>
    </row>
    <row r="35" customFormat="false" ht="15" hidden="false" customHeight="true" outlineLevel="0" collapsed="false">
      <c r="A35" s="17" t="s">
        <v>53</v>
      </c>
      <c r="B35" s="17"/>
      <c r="C35" s="17"/>
      <c r="D35" s="18" t="n">
        <f aca="false">E29+F29</f>
        <v>26960</v>
      </c>
    </row>
    <row r="36" customFormat="false" ht="15" hidden="false" customHeight="true" outlineLevel="0" collapsed="false">
      <c r="A36" s="17" t="s">
        <v>54</v>
      </c>
      <c r="B36" s="17"/>
      <c r="C36" s="17"/>
      <c r="D36" s="18" t="n">
        <f aca="false">C29</f>
        <v>50960</v>
      </c>
    </row>
    <row r="37" customFormat="false" ht="15" hidden="false" customHeight="true" outlineLevel="0" collapsed="false">
      <c r="A37" s="17" t="s">
        <v>55</v>
      </c>
      <c r="B37" s="17"/>
      <c r="C37" s="17"/>
      <c r="D37" s="19" t="n">
        <f aca="false">(E29+F29)/D29</f>
        <v>1.12333333333333</v>
      </c>
      <c r="E37" s="20" t="str">
        <f aca="false">IF((E29+F29)/D29&gt;=1,"PASS","CHECK")</f>
        <v>PASS</v>
      </c>
    </row>
    <row r="38" customFormat="false" ht="15" hidden="false" customHeight="true" outlineLevel="0" collapsed="false">
      <c r="A38" s="17" t="s">
        <v>56</v>
      </c>
      <c r="B38" s="17"/>
      <c r="C38" s="17"/>
      <c r="D38" s="19" t="n">
        <f aca="false">D29/C29</f>
        <v>0.470957613814757</v>
      </c>
      <c r="E38" s="20" t="str">
        <f aca="false">IF(D29/C29&lt;=0.5,"PASS","CHECK")</f>
        <v>PASS</v>
      </c>
    </row>
    <row r="39" customFormat="false" ht="15" hidden="false" customHeight="true" outlineLevel="0" collapsed="false">
      <c r="A39" s="17" t="s">
        <v>57</v>
      </c>
      <c r="B39" s="17"/>
      <c r="C39" s="17"/>
      <c r="D39" s="19" t="n">
        <f aca="false">E29/(E29+F29)</f>
        <v>0.408011869436202</v>
      </c>
    </row>
    <row r="40" customFormat="false" ht="15" hidden="false" customHeight="true" outlineLevel="0" collapsed="false">
      <c r="A40" s="17" t="s">
        <v>58</v>
      </c>
      <c r="B40" s="17"/>
      <c r="C40" s="17"/>
      <c r="D40" s="19" t="n">
        <f aca="false">F29/(E29+F29)</f>
        <v>0.591988130563798</v>
      </c>
    </row>
    <row r="42" customFormat="false" ht="15" hidden="false" customHeight="true" outlineLevel="0" collapsed="false">
      <c r="A42" s="4" t="s">
        <v>59</v>
      </c>
      <c r="B42" s="4"/>
      <c r="C42" s="4"/>
      <c r="D42" s="4"/>
      <c r="E42" s="4"/>
      <c r="F42" s="4"/>
    </row>
    <row r="43" customFormat="false" ht="15" hidden="false" customHeight="true" outlineLevel="0" collapsed="false">
      <c r="A43" s="17" t="s">
        <v>60</v>
      </c>
      <c r="B43" s="17"/>
      <c r="C43" s="17"/>
      <c r="D43" s="21" t="n">
        <v>17000</v>
      </c>
    </row>
    <row r="44" customFormat="false" ht="15" hidden="false" customHeight="true" outlineLevel="0" collapsed="false">
      <c r="A44" s="17" t="s">
        <v>61</v>
      </c>
      <c r="B44" s="17"/>
      <c r="C44" s="17"/>
      <c r="D44" s="18" t="n">
        <f aca="false">E29</f>
        <v>11000</v>
      </c>
    </row>
    <row r="45" customFormat="false" ht="15" hidden="false" customHeight="true" outlineLevel="0" collapsed="false">
      <c r="A45" s="22" t="s">
        <v>62</v>
      </c>
      <c r="B45" s="22"/>
      <c r="C45" s="22"/>
      <c r="D45" s="23" t="n">
        <f aca="false">D43-E29</f>
        <v>6000</v>
      </c>
      <c r="E45" s="24"/>
      <c r="F45" s="24"/>
    </row>
    <row r="47" customFormat="false" ht="15" hidden="false" customHeight="true" outlineLevel="0" collapsed="false">
      <c r="A47" s="4" t="s">
        <v>63</v>
      </c>
      <c r="B47" s="4"/>
      <c r="C47" s="4"/>
      <c r="D47" s="4"/>
      <c r="E47" s="4"/>
      <c r="F47" s="4"/>
    </row>
    <row r="48" customFormat="false" ht="15" hidden="false" customHeight="true" outlineLevel="0" collapsed="false">
      <c r="A48" s="17" t="s">
        <v>64</v>
      </c>
      <c r="B48" s="17"/>
      <c r="C48" s="17"/>
      <c r="D48" s="25" t="n">
        <v>15</v>
      </c>
    </row>
    <row r="49" customFormat="false" ht="15" hidden="false" customHeight="true" outlineLevel="0" collapsed="false">
      <c r="A49" s="17" t="s">
        <v>65</v>
      </c>
      <c r="B49" s="17"/>
      <c r="C49" s="17"/>
      <c r="D49" s="18" t="n">
        <f aca="false">C29/D48</f>
        <v>3397.33333333333</v>
      </c>
    </row>
    <row r="50" customFormat="false" ht="15" hidden="false" customHeight="true" outlineLevel="0" collapsed="false">
      <c r="A50" s="17" t="s">
        <v>66</v>
      </c>
      <c r="B50" s="17"/>
      <c r="C50" s="17"/>
      <c r="D50" s="18" t="n">
        <f aca="false">D29/D48</f>
        <v>1600</v>
      </c>
    </row>
    <row r="51" customFormat="false" ht="15" hidden="false" customHeight="true" outlineLevel="0" collapsed="false">
      <c r="A51" s="17" t="s">
        <v>67</v>
      </c>
      <c r="B51" s="17"/>
      <c r="C51" s="17"/>
      <c r="D51" s="18" t="n">
        <f aca="false">(D29+E29)/D48</f>
        <v>2333.33333333333</v>
      </c>
    </row>
    <row r="53" customFormat="false" ht="15" hidden="false" customHeight="true" outlineLevel="0" collapsed="false">
      <c r="A53" s="26" t="s">
        <v>68</v>
      </c>
      <c r="B53" s="26"/>
      <c r="C53" s="26"/>
      <c r="D53" s="26"/>
      <c r="E53" s="26"/>
      <c r="F53" s="26"/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6"/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6"/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6"/>
    </row>
  </sheetData>
  <mergeCells count="24">
    <mergeCell ref="A1:F1"/>
    <mergeCell ref="A2:F2"/>
    <mergeCell ref="A4:F4"/>
    <mergeCell ref="A23:F23"/>
    <mergeCell ref="A31:F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2:F42"/>
    <mergeCell ref="A43:C43"/>
    <mergeCell ref="A44:C44"/>
    <mergeCell ref="A45:C45"/>
    <mergeCell ref="A47:F47"/>
    <mergeCell ref="A48:C48"/>
    <mergeCell ref="A49:C49"/>
    <mergeCell ref="A50:C50"/>
    <mergeCell ref="A51:C51"/>
    <mergeCell ref="A53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2026-06-29T00:26:47Z</dcterms:created>
  <dc:creator>openpyxl</dc:creator>
  <dc:description/>
  <dc:language>en-US</dc:language>
  <cp:lastModifiedBy/>
  <dcterms:modified xsi:type="dcterms:W3CDTF">2026-07-20T20:59:43Z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